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Worksheet1" sheetId="1" r:id="rId1"/>
    <sheet name="Worksheet2" sheetId="2" r:id="rId2"/>
    <sheet name="Worksheet3" sheetId="3" r:id="rId3"/>
    <sheet name="Sheet4" sheetId="4" r:id="rId4"/>
  </sheets>
  <definedNames>
    <definedName name="_xlnm._FilterDatabase" localSheetId="0" hidden="1">Worksheet1!$A$1:$C$18</definedName>
    <definedName name="_xlnm.Criteria" localSheetId="0">Worksheet1!#REF!</definedName>
    <definedName name="_xlnm.Extract" localSheetId="0">Worksheet1!#REF!</definedName>
    <definedName name="_xlnm._FilterDatabase" localSheetId="1" hidden="1">Worksheet2!$A$1:$C$16</definedName>
    <definedName name="_xlnm.Criteria" localSheetId="1">Worksheet2!$F$1:$F$2</definedName>
    <definedName name="_xlnm.Extract" localSheetId="1">Worksheet2!$A$18</definedName>
    <definedName name="_xlnm._FilterDatabase" localSheetId="3" hidden="1">Sheet4!$A$1:$E$16</definedName>
    <definedName name="_xlnm.Criteria" localSheetId="3">Sheet4!#REF!</definedName>
    <definedName name="_xlnm.Extract" localSheetId="3">Sheet4!$A$19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<sst xmlns="http://schemas.openxmlformats.org/spreadsheetml/2006/main" count="181" uniqueCount="53">
  <si>
    <t>MSSV</t>
  </si>
  <si>
    <t>Hoten</t>
  </si>
  <si>
    <t>Lop</t>
  </si>
  <si>
    <t>Lê Huỳnh                 Như</t>
  </si>
  <si>
    <t>DI11Y9A2</t>
  </si>
  <si>
    <t xml:space="preserve"> Sơn                        Sony</t>
  </si>
  <si>
    <t>DI11Y9A1</t>
  </si>
  <si>
    <t>A1200014</t>
  </si>
  <si>
    <t>Võ Đông                 Triều</t>
  </si>
  <si>
    <t>CP1296C1</t>
  </si>
  <si>
    <t>A1200028</t>
  </si>
  <si>
    <t>Lê Phong                Cảnh</t>
  </si>
  <si>
    <t>A1200137</t>
  </si>
  <si>
    <t>Trần Tấn                 Quốc</t>
  </si>
  <si>
    <t>B1204052</t>
  </si>
  <si>
    <t>Nguyễn Thanh        Phong</t>
  </si>
  <si>
    <t>DI1296A2</t>
  </si>
  <si>
    <t>B1204121</t>
  </si>
  <si>
    <t>Nguyễn Thanh        Thiện</t>
  </si>
  <si>
    <t>DI1295A1</t>
  </si>
  <si>
    <t>B1208601</t>
  </si>
  <si>
    <t>Hồ Thị Huế             Chi</t>
  </si>
  <si>
    <t>DI12Z6A2</t>
  </si>
  <si>
    <t>B1209103</t>
  </si>
  <si>
    <t>Nguyễn Hoài          Nam</t>
  </si>
  <si>
    <t>TC12Z5A1</t>
  </si>
  <si>
    <t>B1209107</t>
  </si>
  <si>
    <t>Cao Tuấn               Nguyên</t>
  </si>
  <si>
    <t>B1209144</t>
  </si>
  <si>
    <t>Huỳnh Nhựt           Thương</t>
  </si>
  <si>
    <t>TC12Z5A2</t>
  </si>
  <si>
    <t>B1302016</t>
  </si>
  <si>
    <t>Nguyễn Phước     Toàn</t>
  </si>
  <si>
    <t>XH13W9A1</t>
  </si>
  <si>
    <t>B1304488</t>
  </si>
  <si>
    <t>Hồng Duy              Hiệu</t>
  </si>
  <si>
    <t>DI13Z6A1</t>
  </si>
  <si>
    <t>B1304494</t>
  </si>
  <si>
    <t>Kim                        Mel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</si>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</sst>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Aptos Narrow"/>
      <charset val="134"/>
      <scheme val="minor"/>
    </font>
    <font>
      <b/>
      <sz val="10"/>
      <color rgb="FF000000"/>
      <name val="Times New Roman"/>
      <charset val="134"/>
    </font>
    <font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11"/>
      <color theme="1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6" fillId="0" borderId="0" xfId="0" applyFont="1" applyAlignment="1">
      <alignment wrapText="1"/>
    </xf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C18" sqref="C18"/>
    </sheetView>
  </sheetViews>
  <sheetFormatPr defaultColWidth="9" defaultRowHeight="14.25" outlineLevelCol="2"/>
  <cols>
    <col min="1" max="1" width="10.25" customWidth="1"/>
    <col min="2" max="2" width="26.9083333333333" customWidth="1"/>
    <col min="3" max="3" width="10.8166666666667" customWidth="1"/>
  </cols>
  <sheetData>
    <row r="1" spans="1:3">
      <c r="A1" s="12" t="s">
        <v>0</v>
      </c>
      <c r="B1" s="13" t="s">
        <v>1</v>
      </c>
      <c r="C1" s="12" t="s">
        <v>2</v>
      </c>
    </row>
    <row r="2" spans="1:3">
      <c r="A2" s="14">
        <v>1111434</v>
      </c>
      <c r="B2" s="15" t="s">
        <v>3</v>
      </c>
      <c r="C2" s="14" t="s">
        <v>4</v>
      </c>
    </row>
    <row r="3" spans="1:3">
      <c r="A3" s="14">
        <v>1111450</v>
      </c>
      <c r="B3" s="15" t="s">
        <v>5</v>
      </c>
      <c r="C3" s="14" t="s">
        <v>6</v>
      </c>
    </row>
    <row r="4" spans="1:3">
      <c r="A4" s="14" t="s">
        <v>7</v>
      </c>
      <c r="B4" s="15" t="s">
        <v>8</v>
      </c>
      <c r="C4" s="14" t="s">
        <v>9</v>
      </c>
    </row>
    <row r="5" spans="1:3">
      <c r="A5" s="14" t="s">
        <v>10</v>
      </c>
      <c r="B5" s="15" t="s">
        <v>11</v>
      </c>
      <c r="C5" s="14" t="s">
        <v>9</v>
      </c>
    </row>
    <row r="6" spans="1:3">
      <c r="A6" s="14" t="s">
        <v>12</v>
      </c>
      <c r="B6" s="15" t="s">
        <v>13</v>
      </c>
      <c r="C6" s="14" t="s">
        <v>9</v>
      </c>
    </row>
    <row r="7" spans="1:3">
      <c r="A7" s="14" t="s">
        <v>14</v>
      </c>
      <c r="B7" s="15" t="s">
        <v>15</v>
      </c>
      <c r="C7" s="14" t="s">
        <v>16</v>
      </c>
    </row>
    <row r="8" spans="1:3">
      <c r="A8" s="14" t="s">
        <v>17</v>
      </c>
      <c r="B8" s="15" t="s">
        <v>18</v>
      </c>
      <c r="C8" s="14" t="s">
        <v>19</v>
      </c>
    </row>
    <row r="9" spans="1:3">
      <c r="A9" s="14" t="s">
        <v>20</v>
      </c>
      <c r="B9" s="15" t="s">
        <v>21</v>
      </c>
      <c r="C9" s="14" t="s">
        <v>22</v>
      </c>
    </row>
    <row r="10" spans="1:3">
      <c r="A10" s="14" t="s">
        <v>23</v>
      </c>
      <c r="B10" s="15" t="s">
        <v>24</v>
      </c>
      <c r="C10" s="14" t="s">
        <v>25</v>
      </c>
    </row>
    <row r="11" spans="1:3">
      <c r="A11" s="14" t="s">
        <v>26</v>
      </c>
      <c r="B11" s="15" t="s">
        <v>27</v>
      </c>
      <c r="C11" s="14" t="s">
        <v>25</v>
      </c>
    </row>
    <row r="12" spans="1:3">
      <c r="A12" s="14" t="s">
        <v>28</v>
      </c>
      <c r="B12" s="15" t="s">
        <v>29</v>
      </c>
      <c r="C12" s="14" t="s">
        <v>30</v>
      </c>
    </row>
    <row r="13" spans="1:3">
      <c r="A13" s="14" t="s">
        <v>31</v>
      </c>
      <c r="B13" s="15" t="s">
        <v>32</v>
      </c>
      <c r="C13" s="14" t="s">
        <v>33</v>
      </c>
    </row>
    <row r="14" spans="1:3">
      <c r="A14" s="14" t="s">
        <v>34</v>
      </c>
      <c r="B14" s="15" t="s">
        <v>35</v>
      </c>
      <c r="C14" s="14" t="s">
        <v>36</v>
      </c>
    </row>
    <row r="15" spans="1:3">
      <c r="A15" s="14" t="s">
        <v>37</v>
      </c>
      <c r="B15" s="15" t="s">
        <v>38</v>
      </c>
      <c r="C15" s="14" t="s">
        <v>36</v>
      </c>
    </row>
    <row r="17" spans="1:3">
      <c r="A17" s="12" t="s">
        <v>0</v>
      </c>
      <c r="B17" s="13" t="s">
        <v>1</v>
      </c>
      <c r="C17" s="12" t="s">
        <v>2</v>
      </c>
    </row>
    <row r="18" spans="1:3">
      <c r="A18" s="14" t="s">
        <v>14</v>
      </c>
      <c r="B18" s="15" t="s">
        <v>15</v>
      </c>
      <c r="C18" s="14" t="s">
        <v>16</v>
      </c>
    </row>
    <row r="19" ht="15" spans="1:3">
      <c r="A19" s="16"/>
      <c r="B19" s="17"/>
      <c r="C19" s="17"/>
    </row>
    <row r="20" spans="1:3">
      <c r="A20" s="1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B20" sqref="B20"/>
    </sheetView>
  </sheetViews>
  <sheetFormatPr defaultColWidth="9" defaultRowHeight="14.25" outlineLevelCol="5"/>
  <cols>
    <col min="1" max="1" width="11.725" customWidth="1"/>
    <col min="2" max="2" width="6.54166666666667" customWidth="1"/>
    <col min="3" max="3" width="5.18333333333333" customWidth="1"/>
  </cols>
  <sheetData>
    <row r="1" ht="15" spans="1:6">
      <c r="A1" s="3" t="s">
        <v>0</v>
      </c>
      <c r="B1" s="3" t="s">
        <v>39</v>
      </c>
      <c r="C1" s="3" t="s">
        <v>40</v>
      </c>
      <c r="E1" s="6"/>
      <c r="F1" s="7"/>
    </row>
    <row r="2" ht="15" spans="1:6">
      <c r="A2" s="8">
        <v>1111434</v>
      </c>
      <c r="B2" s="3" t="s">
        <v>41</v>
      </c>
      <c r="C2" s="3" t="s">
        <v>42</v>
      </c>
      <c r="E2" s="6"/>
      <c r="F2" s="7"/>
    </row>
    <row r="3" ht="15" spans="1:6">
      <c r="A3" s="8">
        <v>1111450</v>
      </c>
      <c r="B3" s="3" t="s">
        <v>43</v>
      </c>
      <c r="C3" s="3" t="s">
        <v>42</v>
      </c>
      <c r="E3" s="6"/>
      <c r="F3" s="6"/>
    </row>
    <row r="4" ht="15" spans="1:6">
      <c r="A4" s="8" t="s">
        <v>7</v>
      </c>
      <c r="B4" s="3" t="s">
        <v>44</v>
      </c>
      <c r="C4" s="3" t="s">
        <v>45</v>
      </c>
      <c r="E4" s="6"/>
      <c r="F4" s="6"/>
    </row>
    <row r="5" ht="15" spans="1:6">
      <c r="A5" s="8" t="s">
        <v>10</v>
      </c>
      <c r="B5" s="3" t="s">
        <v>41</v>
      </c>
      <c r="C5" s="3" t="s">
        <v>46</v>
      </c>
      <c r="E5" s="6"/>
      <c r="F5" s="6"/>
    </row>
    <row r="6" ht="15" spans="1:6">
      <c r="A6" s="8" t="s">
        <v>12</v>
      </c>
      <c r="B6" s="3" t="s">
        <v>43</v>
      </c>
      <c r="C6" s="3" t="s">
        <v>47</v>
      </c>
    </row>
    <row r="7" ht="15" spans="1:6">
      <c r="A7" s="8" t="s">
        <v>14</v>
      </c>
      <c r="B7" s="3" t="s">
        <v>44</v>
      </c>
      <c r="C7" s="3" t="s">
        <v>42</v>
      </c>
    </row>
    <row r="8" ht="15" spans="1:6">
      <c r="A8" s="8" t="s">
        <v>17</v>
      </c>
      <c r="B8" s="3" t="s">
        <v>41</v>
      </c>
      <c r="C8" s="3" t="s">
        <v>42</v>
      </c>
    </row>
    <row r="9" ht="15" spans="1:6">
      <c r="A9" s="8" t="s">
        <v>20</v>
      </c>
      <c r="B9" s="3" t="s">
        <v>43</v>
      </c>
      <c r="C9" s="3" t="s">
        <v>45</v>
      </c>
    </row>
    <row r="10" ht="15" spans="1:6">
      <c r="A10" s="8" t="s">
        <v>23</v>
      </c>
      <c r="B10" s="3" t="s">
        <v>44</v>
      </c>
      <c r="C10" s="3" t="s">
        <v>46</v>
      </c>
    </row>
    <row r="11" ht="15" spans="1:6">
      <c r="A11" s="8" t="s">
        <v>26</v>
      </c>
      <c r="B11" s="3" t="s">
        <v>41</v>
      </c>
      <c r="C11" s="3" t="s">
        <v>47</v>
      </c>
    </row>
    <row r="12" ht="15" spans="1:6">
      <c r="A12" s="8" t="s">
        <v>28</v>
      </c>
      <c r="B12" s="3" t="s">
        <v>43</v>
      </c>
      <c r="C12" s="3" t="s">
        <v>42</v>
      </c>
    </row>
    <row r="13" ht="15" spans="1:6">
      <c r="A13" s="8" t="s">
        <v>31</v>
      </c>
      <c r="B13" s="3" t="s">
        <v>44</v>
      </c>
      <c r="C13" s="3" t="s">
        <v>42</v>
      </c>
    </row>
    <row r="14" ht="15" spans="1:6">
      <c r="A14" s="8" t="s">
        <v>34</v>
      </c>
      <c r="B14" s="3" t="s">
        <v>41</v>
      </c>
      <c r="C14" s="3" t="s">
        <v>45</v>
      </c>
    </row>
    <row r="15" ht="15" spans="1:6">
      <c r="A15" s="8" t="s">
        <v>37</v>
      </c>
      <c r="B15" s="3" t="s">
        <v>43</v>
      </c>
      <c r="C15" s="3" t="s">
        <v>46</v>
      </c>
    </row>
    <row r="16" ht="15" spans="1:6">
      <c r="A16" s="9"/>
      <c r="B16" s="10"/>
      <c r="C16" s="3" t="s">
        <v>47</v>
      </c>
    </row>
    <row r="18" ht="15" spans="1:5">
      <c r="A18" s="3" t="s">
        <v>0</v>
      </c>
      <c r="B18" s="3" t="s">
        <v>39</v>
      </c>
      <c r="C18" s="3" t="s">
        <v>40</v>
      </c>
      <c r="E18" s="11"/>
    </row>
    <row r="19" ht="15" spans="1:5">
      <c r="A19" s="8" t="s">
        <v>7</v>
      </c>
      <c r="B19" s="3" t="s">
        <v>44</v>
      </c>
      <c r="C19" s="3" t="s">
        <v>45</v>
      </c>
    </row>
    <row r="20" ht="15" spans="1:5">
      <c r="A20" s="8" t="s">
        <v>14</v>
      </c>
      <c r="B20" s="3" t="s">
        <v>44</v>
      </c>
      <c r="C20" s="3" t="s">
        <v>42</v>
      </c>
    </row>
    <row r="21" ht="15" spans="1:5">
      <c r="A21" s="8" t="s">
        <v>23</v>
      </c>
      <c r="B21" s="3" t="s">
        <v>44</v>
      </c>
      <c r="C21" s="3" t="s">
        <v>46</v>
      </c>
    </row>
    <row r="22" ht="15" spans="1:5">
      <c r="A22" s="8" t="s">
        <v>31</v>
      </c>
      <c r="B22" s="3" t="s">
        <v>44</v>
      </c>
      <c r="C22" s="3" t="s">
        <v>42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C4" sqref="C4"/>
    </sheetView>
  </sheetViews>
  <sheetFormatPr defaultColWidth="9" defaultRowHeight="14.25" outlineLevelRow="3" outlineLevelCol="2"/>
  <cols>
    <col min="2" max="2" width="19.45" customWidth="1"/>
  </cols>
  <sheetData>
    <row r="1" ht="15" spans="1:3">
      <c r="A1" s="3" t="s">
        <v>39</v>
      </c>
      <c r="B1" s="3" t="s">
        <v>48</v>
      </c>
      <c r="C1" s="3" t="s">
        <v>49</v>
      </c>
    </row>
    <row r="2" ht="15" spans="1:3">
      <c r="A2" s="3" t="s">
        <v>41</v>
      </c>
      <c r="B2" s="3" t="s">
        <v>50</v>
      </c>
      <c r="C2" s="3">
        <v>3</v>
      </c>
    </row>
    <row r="3" ht="15" spans="1:3">
      <c r="A3" s="3" t="s">
        <v>43</v>
      </c>
      <c r="B3" s="3" t="s">
        <v>51</v>
      </c>
      <c r="C3" s="3">
        <v>3</v>
      </c>
    </row>
    <row r="4" ht="15" spans="1:3">
      <c r="A4" s="3" t="s">
        <v>44</v>
      </c>
      <c r="B4" s="3" t="s">
        <v>52</v>
      </c>
      <c r="C4" s="3">
        <v>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H1" sqref="H1:I2"/>
    </sheetView>
  </sheetViews>
  <sheetFormatPr defaultColWidth="9" defaultRowHeight="14.25" outlineLevelCol="4"/>
  <cols>
    <col min="1" max="1" width="7.875" customWidth="1"/>
    <col min="2" max="2" width="23" customWidth="1"/>
    <col min="3" max="3" width="11.375" customWidth="1"/>
  </cols>
  <sheetData>
    <row r="1" ht="15" spans="1:5">
      <c r="A1" s="1" t="s">
        <v>0</v>
      </c>
      <c r="B1" s="2" t="s">
        <v>1</v>
      </c>
      <c r="C1" s="1" t="s">
        <v>2</v>
      </c>
      <c r="D1" s="3" t="s">
        <v>39</v>
      </c>
      <c r="E1" s="3" t="s">
        <v>40</v>
      </c>
    </row>
    <row r="2" ht="15" spans="1:5">
      <c r="A2" s="4">
        <v>1111434</v>
      </c>
      <c r="B2" s="5" t="str">
        <f>VLOOKUP(A2,Worksheet1!A:C,2,FALSE)</f>
        <v>Lê Huỳnh                 Như</v>
      </c>
      <c r="C2" s="4" t="str">
        <f>VLOOKUP(A2,Worksheet1!A:C,3,FALSE)</f>
        <v>DI11Y9A2</v>
      </c>
      <c r="D2" s="3" t="s">
        <v>41</v>
      </c>
      <c r="E2" s="3" t="s">
        <v>42</v>
      </c>
    </row>
    <row r="3" ht="15" spans="1:5">
      <c r="A3" s="4">
        <v>1111450</v>
      </c>
      <c r="B3" s="5" t="str">
        <f>VLOOKUP(A3,Worksheet1!A:C,2,FALSE)</f>
        <v> Sơn                        Sony</v>
      </c>
      <c r="C3" s="4" t="str">
        <f>VLOOKUP(A3,Worksheet1!A:C,3,FALSE)</f>
        <v>DI11Y9A1</v>
      </c>
      <c r="D3" s="3" t="s">
        <v>43</v>
      </c>
      <c r="E3" s="3" t="s">
        <v>42</v>
      </c>
    </row>
    <row r="4" ht="15" spans="1:5">
      <c r="A4" s="4" t="s">
        <v>7</v>
      </c>
      <c r="B4" s="5" t="str">
        <f>VLOOKUP(A4,Worksheet1!A:C,2,FALSE)</f>
        <v>Võ Đông                 Triều</v>
      </c>
      <c r="C4" s="4" t="str">
        <f>VLOOKUP(A4,Worksheet1!A:C,3,FALSE)</f>
        <v>CP1296C1</v>
      </c>
      <c r="D4" s="3" t="s">
        <v>44</v>
      </c>
      <c r="E4" s="3" t="s">
        <v>45</v>
      </c>
    </row>
    <row r="5" ht="15" spans="1:5">
      <c r="A5" s="4" t="s">
        <v>10</v>
      </c>
      <c r="B5" s="5" t="str">
        <f>VLOOKUP(A5,Worksheet1!A:C,2,FALSE)</f>
        <v>Lê Phong                Cảnh</v>
      </c>
      <c r="C5" s="4" t="str">
        <f>VLOOKUP(A5,Worksheet1!A:C,3,FALSE)</f>
        <v>CP1296C1</v>
      </c>
      <c r="D5" s="3" t="s">
        <v>41</v>
      </c>
      <c r="E5" s="3" t="s">
        <v>46</v>
      </c>
    </row>
    <row r="6" ht="15" spans="1:5">
      <c r="A6" s="4" t="s">
        <v>12</v>
      </c>
      <c r="B6" s="5" t="str">
        <f>VLOOKUP(A6,Worksheet1!A:C,2,FALSE)</f>
        <v>Trần Tấn                 Quốc</v>
      </c>
      <c r="C6" s="4" t="str">
        <f>VLOOKUP(A6,Worksheet1!A:C,3,FALSE)</f>
        <v>CP1296C1</v>
      </c>
      <c r="D6" s="3" t="s">
        <v>43</v>
      </c>
      <c r="E6" s="3" t="s">
        <v>47</v>
      </c>
    </row>
    <row r="7" ht="15" spans="1:5">
      <c r="A7" s="4" t="s">
        <v>14</v>
      </c>
      <c r="B7" s="5" t="str">
        <f>VLOOKUP(A7,Worksheet1!A:C,2,FALSE)</f>
        <v>Nguyễn Thanh        Phong</v>
      </c>
      <c r="C7" s="4" t="str">
        <f>VLOOKUP(A7,Worksheet1!A:C,3,FALSE)</f>
        <v>DI1296A2</v>
      </c>
      <c r="D7" s="3" t="s">
        <v>44</v>
      </c>
      <c r="E7" s="3" t="s">
        <v>42</v>
      </c>
    </row>
    <row r="8" ht="15" spans="1:5">
      <c r="A8" s="4" t="s">
        <v>17</v>
      </c>
      <c r="B8" s="5" t="str">
        <f>VLOOKUP(A8,Worksheet1!A:C,2,FALSE)</f>
        <v>Nguyễn Thanh        Thiện</v>
      </c>
      <c r="C8" s="4" t="str">
        <f>VLOOKUP(A8,Worksheet1!A:C,3,FALSE)</f>
        <v>DI1295A1</v>
      </c>
      <c r="D8" s="3" t="s">
        <v>41</v>
      </c>
      <c r="E8" s="3" t="s">
        <v>42</v>
      </c>
    </row>
    <row r="9" ht="15" spans="1:5">
      <c r="A9" s="4" t="s">
        <v>20</v>
      </c>
      <c r="B9" s="5" t="str">
        <f>VLOOKUP(A9,Worksheet1!A:C,2,FALSE)</f>
        <v>Hồ Thị Huế             Chi</v>
      </c>
      <c r="C9" s="4" t="str">
        <f>VLOOKUP(A9,Worksheet1!A:C,3,FALSE)</f>
        <v>DI12Z6A2</v>
      </c>
      <c r="D9" s="3" t="s">
        <v>43</v>
      </c>
      <c r="E9" s="3" t="s">
        <v>45</v>
      </c>
    </row>
    <row r="10" ht="15" spans="1:5">
      <c r="A10" s="4" t="s">
        <v>23</v>
      </c>
      <c r="B10" s="5" t="str">
        <f>VLOOKUP(A10,Worksheet1!A:C,2,FALSE)</f>
        <v>Nguyễn Hoài          Nam</v>
      </c>
      <c r="C10" s="4" t="str">
        <f>VLOOKUP(A10,Worksheet1!A:C,3,FALSE)</f>
        <v>TC12Z5A1</v>
      </c>
      <c r="D10" s="3" t="s">
        <v>44</v>
      </c>
      <c r="E10" s="3" t="s">
        <v>46</v>
      </c>
    </row>
    <row r="11" ht="15" spans="1:5">
      <c r="A11" s="4" t="s">
        <v>26</v>
      </c>
      <c r="B11" s="5" t="str">
        <f>VLOOKUP(A11,Worksheet1!A:C,2,FALSE)</f>
        <v>Cao Tuấn               Nguyên</v>
      </c>
      <c r="C11" s="4" t="str">
        <f>VLOOKUP(A11,Worksheet1!A:C,3,FALSE)</f>
        <v>TC12Z5A1</v>
      </c>
      <c r="D11" s="3" t="s">
        <v>41</v>
      </c>
      <c r="E11" s="3" t="s">
        <v>47</v>
      </c>
    </row>
    <row r="12" ht="15" spans="1:5">
      <c r="A12" s="4" t="s">
        <v>28</v>
      </c>
      <c r="B12" s="5" t="str">
        <f>VLOOKUP(A12,Worksheet1!A:C,2,FALSE)</f>
        <v>Huỳnh Nhựt           Thương</v>
      </c>
      <c r="C12" s="4" t="str">
        <f>VLOOKUP(A12,Worksheet1!A:C,3,FALSE)</f>
        <v>TC12Z5A2</v>
      </c>
      <c r="D12" s="3" t="s">
        <v>43</v>
      </c>
      <c r="E12" s="3" t="s">
        <v>42</v>
      </c>
    </row>
    <row r="13" ht="15" spans="1:5">
      <c r="A13" s="4" t="s">
        <v>31</v>
      </c>
      <c r="B13" s="5" t="str">
        <f>VLOOKUP(A13,Worksheet1!A:C,2,FALSE)</f>
        <v>Nguyễn Phước     Toàn</v>
      </c>
      <c r="C13" s="4" t="str">
        <f>VLOOKUP(A13,Worksheet1!A:C,3,FALSE)</f>
        <v>XH13W9A1</v>
      </c>
      <c r="D13" s="3" t="s">
        <v>44</v>
      </c>
      <c r="E13" s="3" t="s">
        <v>42</v>
      </c>
    </row>
    <row r="14" ht="15" spans="1:5">
      <c r="A14" s="4" t="s">
        <v>34</v>
      </c>
      <c r="B14" s="5" t="str">
        <f>VLOOKUP(A14,Worksheet1!A:C,2,FALSE)</f>
        <v>Hồng Duy              Hiệu</v>
      </c>
      <c r="C14" s="4" t="str">
        <f>VLOOKUP(A14,Worksheet1!A:C,3,FALSE)</f>
        <v>DI13Z6A1</v>
      </c>
      <c r="D14" s="3" t="s">
        <v>41</v>
      </c>
      <c r="E14" s="3" t="s">
        <v>45</v>
      </c>
    </row>
    <row r="15" ht="15" spans="1:5">
      <c r="A15" s="4" t="s">
        <v>37</v>
      </c>
      <c r="B15" s="5" t="str">
        <f>VLOOKUP(A15,Worksheet1!A:C,2,FALSE)</f>
        <v>Kim                        Mel</v>
      </c>
      <c r="C15" s="4" t="str">
        <f>VLOOKUP(A15,Worksheet1!A:C,3,FALSE)</f>
        <v>DI13Z6A1</v>
      </c>
      <c r="D15" s="3" t="s">
        <v>43</v>
      </c>
      <c r="E15" s="3" t="s">
        <v>46</v>
      </c>
    </row>
    <row r="16" ht="15" spans="1:5">
      <c r="E16" s="3" t="s">
        <v>47</v>
      </c>
    </row>
    <row r="17" ht="15" spans="1:5">
      <c r="A17" s="1" t="s">
        <v>0</v>
      </c>
      <c r="B17" s="2" t="s">
        <v>1</v>
      </c>
      <c r="C17" s="1" t="s">
        <v>2</v>
      </c>
      <c r="D17" s="3" t="s">
        <v>39</v>
      </c>
    </row>
    <row r="18" ht="15" spans="1:5">
      <c r="A18" s="4" t="s">
        <v>7</v>
      </c>
      <c r="B18" s="5" t="s">
        <v>8</v>
      </c>
      <c r="C18" s="4" t="s">
        <v>9</v>
      </c>
      <c r="D18" s="3" t="s">
        <v>44</v>
      </c>
    </row>
    <row r="19" ht="15" spans="1:5">
      <c r="A19" s="1" t="s">
        <v>0</v>
      </c>
      <c r="B19" s="2" t="s">
        <v>1</v>
      </c>
      <c r="C19" s="1" t="s">
        <v>2</v>
      </c>
      <c r="D19" s="3" t="s">
        <v>39</v>
      </c>
      <c r="E19" s="3" t="s">
        <v>40</v>
      </c>
    </row>
    <row r="20" ht="15" spans="1:5">
      <c r="A20" s="4" t="s">
        <v>7</v>
      </c>
      <c r="B20" s="5" t="s">
        <v>8</v>
      </c>
      <c r="C20" s="4" t="s">
        <v>9</v>
      </c>
      <c r="D20" s="3" t="s">
        <v>44</v>
      </c>
      <c r="E20" s="3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Worksheet1</vt:lpstr>
      <vt:lpstr>Worksheet2</vt:lpstr>
      <vt:lpstr>Worksheet3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Tan Phat</dc:creator>
  <cp:lastModifiedBy>Nguyen Ngoc Liem B2509674</cp:lastModifiedBy>
  <dcterms:created xsi:type="dcterms:W3CDTF">2026-02-12T02:41:00Z</dcterms:created>
  <dcterms:modified xsi:type="dcterms:W3CDTF">2026-02-26T23:24:37Z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70FFCAD80D454A7EA4DC3F4453A2C6F2_13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